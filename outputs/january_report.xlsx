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anhuynh/Documents/Projects/nyc-311-service-analytics/outputs/"/>
    </mc:Choice>
  </mc:AlternateContent>
  <xr:revisionPtr revIDLastSave="0" documentId="13_ncr:1_{0F6E262C-6ECD-7A44-AE5B-49AA96E366BE}" xr6:coauthVersionLast="47" xr6:coauthVersionMax="47" xr10:uidLastSave="{00000000-0000-0000-0000-000000000000}"/>
  <bookViews>
    <workbookView xWindow="1100" yWindow="900" windowWidth="28040" windowHeight="17180" activeTab="1" xr2:uid="{0EEACCC1-F985-5C4C-8965-C1E4C7D87E87}"/>
  </bookViews>
  <sheets>
    <sheet name="Request Chart" sheetId="2" r:id="rId1"/>
    <sheet name="Finding" sheetId="3" r:id="rId2"/>
    <sheet name="Request Summa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<sst xmlns="http://schemas.openxmlformats.org/spreadsheetml/2006/main" count="44" uniqueCount="43">
  <si>
    <t>problem</t>
  </si>
  <si>
    <t>total_requests</t>
  </si>
  <si>
    <t>with_closure_time</t>
  </si>
  <si>
    <t>missing_closure_time</t>
  </si>
  <si>
    <t>median_hours</t>
  </si>
  <si>
    <t>mean_hours</t>
  </si>
  <si>
    <t>Snow or Ice</t>
  </si>
  <si>
    <t>Dirty Condition</t>
  </si>
  <si>
    <t>Derelict Vehicles</t>
  </si>
  <si>
    <t>Missed Collection</t>
  </si>
  <si>
    <t>Illegal Dumping</t>
  </si>
  <si>
    <t>Graffiti</t>
  </si>
  <si>
    <t>Residential Disposal Complaint</t>
  </si>
  <si>
    <t>Vendor Enforcement</t>
  </si>
  <si>
    <t>Obstruction</t>
  </si>
  <si>
    <t>Dead Animal</t>
  </si>
  <si>
    <t>Street Sweeping Complaint</t>
  </si>
  <si>
    <t>Illegal Posting</t>
  </si>
  <si>
    <t>Sanitation Worker or Vehicle Complaint</t>
  </si>
  <si>
    <t>Litter Basket Request</t>
  </si>
  <si>
    <t>Commercial Disposal Complaint</t>
  </si>
  <si>
    <t>Abandoned Bike</t>
  </si>
  <si>
    <t>Dumpster Complaint</t>
  </si>
  <si>
    <t>Lot Condition</t>
  </si>
  <si>
    <t>Highway Condition</t>
  </si>
  <si>
    <t>Litter Basket Complaint</t>
  </si>
  <si>
    <t>Incorrect Data</t>
  </si>
  <si>
    <t>Recycling Basket Complaint</t>
  </si>
  <si>
    <t>Institution Disposal Complaint</t>
  </si>
  <si>
    <t>Oil or Gas Spill</t>
  </si>
  <si>
    <t>Unspecified</t>
  </si>
  <si>
    <t>request_percentage</t>
  </si>
  <si>
    <t>missing_closure_percentage</t>
  </si>
  <si>
    <t>Metric</t>
  </si>
  <si>
    <t>Result</t>
  </si>
  <si>
    <t>Total requests</t>
  </si>
  <si>
    <t>Most common problem</t>
  </si>
  <si>
    <t>Share of total requests</t>
  </si>
  <si>
    <t>Requests missing closure time</t>
  </si>
  <si>
    <t>Data quality concern</t>
  </si>
  <si>
    <t>Lot Condition: 46 of 59 requests lack closure times</t>
  </si>
  <si>
    <t>Interpretation</t>
  </si>
  <si>
    <t>A closed request does not necessarily mean the underlying problem was 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</si>
</sst>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10" fontId="18" fillId="0" borderId="0" xfId="0" applyNumberFormat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ill>
        <patternFill>
          <bgColor rgb="FFFFC7CE"/>
        </patternFill>
      </fill>
    </dxf>
    <dxf>
      <numFmt numFmtId="164" formatCode="0.0000%"/>
    </dxf>
    <dxf>
      <numFmt numFmtId="164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Top 10 NYC Sanitation Request Types — January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'Request Summary'!$B$1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'Request Summary'!$A$2:$A$11</c:f>
              <c:strCache>
                <c:ptCount val="10"/>
                <c:pt idx="0">
                  <c:v>Snow or Ice</c:v>
                </c:pt>
                <c:pt idx="1">
                  <c:v>Dirty Condition</c:v>
                </c:pt>
                <c:pt idx="2">
                  <c:v>Derelict Vehicles</c:v>
                </c:pt>
                <c:pt idx="3">
                  <c:v>Missed Collection</c:v>
                </c:pt>
                <c:pt idx="4">
                  <c:v>Illegal Dumping</c:v>
                </c:pt>
                <c:pt idx="5">
                  <c:v>Graffiti</c:v>
                </c:pt>
                <c:pt idx="6">
                  <c:v>Residential Disposal Complaint</c:v>
                </c:pt>
                <c:pt idx="7">
                  <c:v>Vendor Enforcement</c:v>
                </c:pt>
                <c:pt idx="8">
                  <c:v>Obstruction</c:v>
                </c:pt>
                <c:pt idx="9">
                  <c:v>Dead Animal</c:v>
                </c:pt>
              </c:strCache>
            </c:strRef>
          </c:cat>
          <c:val>
            <c:numRef>
              <c:f>'Request Summary'!$B$2:$B$11</c:f>
              <c:numCache>
                <c:formatCode>General</c:formatCode>
                <c:ptCount val="10"/>
                <c:pt idx="0">
                  <c:v>5161</c:v>
                </c:pt>
                <c:pt idx="1">
                  <c:v>3994</c:v>
                </c:pt>
                <c:pt idx="2">
                  <c:v>3543</c:v>
                </c:pt>
                <c:pt idx="3">
                  <c:v>2994</c:v>
                </c:pt>
                <c:pt idx="4">
                  <c:v>2599</c:v>
                </c:pt>
                <c:pt idx="5">
                  <c:v>1437</c:v>
                </c:pt>
                <c:pt idx="6">
                  <c:v>1309</c:v>
                </c:pt>
                <c:pt idx="7">
                  <c:v>1307</c:v>
                </c:pt>
                <c:pt idx="8">
                  <c:v>1278</c:v>
                </c:pt>
                <c:pt idx="9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5-7943-A34F-660F6819F9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6639232"/>
        <c:axId val="688274304"/>
      </c:barChart>
      <c:catAx>
        <c:axId val="91663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274304"/>
        <c:crosses val="autoZero"/>
        <c:auto val="1"/>
        <c:lblAlgn val="ctr"/>
        <c:lblOffset val="100"/>
        <c:noMultiLvlLbl val="0"/>
      </c:catAx>
      <c:valAx>
        <c:axId val="68827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3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FEE71E-7637-FB42-B438-48CE9D5F37D6}">
  <sheetPr/>
  <sheetViews>
    <sheetView zoomScale="1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719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29B45-2DF7-FEB4-6DFC-E3AF50B918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1B7A2-82A5-DD4A-A7A4-E5382177D806}" name="Table1" displayName="Table1" ref="A1:H26" totalsRowShown="0">
  <autoFilter ref="A1:H26" xr:uid="{C301B7A2-82A5-DD4A-A7A4-E5382177D806}"/>
  <tableColumns count="8">
    <tableColumn id="1" xr3:uid="{6CC07F0C-BD1F-4743-B7F0-804374E67DC5}" name="problem"/>
    <tableColumn id="2" xr3:uid="{BA1B2D10-511B-C847-BB7B-20A34648D9E6}" name="total_requests"/>
    <tableColumn id="3" xr3:uid="{28B687CD-8F5D-6E40-A8D4-8A6D5EB8C92B}" name="with_closure_time"/>
    <tableColumn id="4" xr3:uid="{D047D968-E41E-D243-B172-20746E10FA55}" name="missing_closure_time"/>
    <tableColumn id="5" xr3:uid="{8033B25C-B13E-0645-A339-C8092F505A38}" name="median_hours"/>
    <tableColumn id="6" xr3:uid="{A603933F-EA8E-6A4A-BF06-0290749FC0CD}" name="mean_hours"/>
    <tableColumn id="7" xr3:uid="{CA724B80-3DF7-B545-AF3B-696F2418F526}" name="request_percentage" dataDxfId="2" dataCellStyle="Percent">
      <calculatedColumnFormula>B2/SUM($B$2:$B$26)</calculatedColumnFormula>
    </tableColumn>
    <tableColumn id="8" xr3:uid="{DFCF0742-75E4-6A43-BC65-DEDDFEF21B72}" name="missing_closure_percentage" dataDxfId="1" dataCellStyle="Percent">
      <calculatedColumnFormula>D2/B2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F52A-B105-8E41-9D4F-D32DA2ECEEFA}">
  <dimension ref="A1:B7"/>
  <sheetViews>
    <sheetView tabSelected="1" workbookViewId="0">
      <selection activeCell="F6" sqref="F6"/>
    </sheetView>
  </sheetViews>
  <sheetFormatPr baseColWidth="10" defaultRowHeight="16"/>
  <cols>
    <col min="1" max="2" width="10.83203125" style="4"/>
  </cols>
  <sheetData>
    <row r="1" spans="1:2" ht="19">
      <c r="A1" s="3" t="s">
        <v>33</v>
      </c>
      <c r="B1" s="3" t="s">
        <v>34</v>
      </c>
    </row>
    <row r="2" spans="1:2" ht="38">
      <c r="A2" s="3" t="s">
        <v>35</v>
      </c>
      <c r="B2" s="3">
        <v>26370</v>
      </c>
    </row>
    <row r="3" spans="1:2" ht="57">
      <c r="A3" s="3" t="s">
        <v>36</v>
      </c>
      <c r="B3" s="3" t="s">
        <v>6</v>
      </c>
    </row>
    <row r="4" spans="1:2" ht="57">
      <c r="A4" s="3" t="s">
        <v>37</v>
      </c>
      <c r="B4" s="5">
        <v>0.19570000000000001</v>
      </c>
    </row>
    <row r="5" spans="1:2" ht="76">
      <c r="A5" s="3" t="s">
        <v>38</v>
      </c>
      <c r="B5" s="3">
        <v>117</v>
      </c>
    </row>
    <row r="6" spans="1:2" ht="133">
      <c r="A6" s="3" t="s">
        <v>39</v>
      </c>
      <c r="B6" s="3" t="s">
        <v>40</v>
      </c>
    </row>
    <row r="7" spans="1:2" ht="190">
      <c r="A7" s="3" t="s">
        <v>41</v>
      </c>
      <c r="B7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EB7D-A06A-1845-9883-850570AB713F}">
  <dimension ref="A1:H26"/>
  <sheetViews>
    <sheetView workbookViewId="0">
      <selection activeCell="V23" sqref="V23"/>
    </sheetView>
  </sheetViews>
  <sheetFormatPr baseColWidth="10" defaultRowHeight="16"/>
  <cols>
    <col min="2" max="2" width="15.5" customWidth="1"/>
    <col min="3" max="3" width="18.6640625" customWidth="1"/>
    <col min="4" max="4" width="21.83203125" customWidth="1"/>
    <col min="5" max="5" width="15.1640625" customWidth="1"/>
    <col min="6" max="6" width="13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</row>
    <row r="2" spans="1:8">
      <c r="A2" t="s">
        <v>6</v>
      </c>
      <c r="B2">
        <v>5161</v>
      </c>
      <c r="C2">
        <v>5161</v>
      </c>
      <c r="D2">
        <v>0</v>
      </c>
      <c r="E2">
        <v>53.198611111111099</v>
      </c>
      <c r="F2">
        <v>75.502310437253797</v>
      </c>
      <c r="G2" s="2">
        <f t="shared" ref="G2:G26" si="0">B2/SUM($B$2:$B$26)</f>
        <v>0.1957148274554418</v>
      </c>
      <c r="H2" s="2">
        <f t="shared" ref="H2:H26" si="1">D2/B2</f>
        <v>0</v>
      </c>
    </row>
    <row r="3" spans="1:8">
      <c r="A3" t="s">
        <v>7</v>
      </c>
      <c r="B3">
        <v>3994</v>
      </c>
      <c r="C3">
        <v>3972</v>
      </c>
      <c r="D3">
        <v>22</v>
      </c>
      <c r="E3">
        <v>20.237083333333299</v>
      </c>
      <c r="F3">
        <v>31.0301276295177</v>
      </c>
      <c r="G3" s="2">
        <f t="shared" si="0"/>
        <v>0.15145999241562383</v>
      </c>
      <c r="H3" s="2">
        <f t="shared" si="1"/>
        <v>5.5082623935903859E-3</v>
      </c>
    </row>
    <row r="4" spans="1:8">
      <c r="A4" t="s">
        <v>8</v>
      </c>
      <c r="B4">
        <v>3543</v>
      </c>
      <c r="C4">
        <v>3538</v>
      </c>
      <c r="D4">
        <v>5</v>
      </c>
      <c r="E4">
        <v>18.6666666666667</v>
      </c>
      <c r="F4">
        <v>27.9727199924628</v>
      </c>
      <c r="G4" s="1">
        <f t="shared" si="0"/>
        <v>0.13435722411831627</v>
      </c>
      <c r="H4" s="1">
        <f t="shared" si="1"/>
        <v>1.4112334180073384E-3</v>
      </c>
    </row>
    <row r="5" spans="1:8">
      <c r="A5" t="s">
        <v>9</v>
      </c>
      <c r="B5">
        <v>2994</v>
      </c>
      <c r="C5">
        <v>2994</v>
      </c>
      <c r="D5">
        <v>0</v>
      </c>
      <c r="E5">
        <v>53.573611111111099</v>
      </c>
      <c r="F5">
        <v>75.724400189267399</v>
      </c>
      <c r="G5" s="1">
        <f t="shared" si="0"/>
        <v>0.11353811149032993</v>
      </c>
      <c r="H5" s="1">
        <f t="shared" si="1"/>
        <v>0</v>
      </c>
    </row>
    <row r="6" spans="1:8">
      <c r="A6" t="s">
        <v>10</v>
      </c>
      <c r="B6">
        <v>2599</v>
      </c>
      <c r="C6">
        <v>2582</v>
      </c>
      <c r="D6">
        <v>17</v>
      </c>
      <c r="E6">
        <v>54.476666666666702</v>
      </c>
      <c r="F6">
        <v>93.449632390911404</v>
      </c>
      <c r="G6" s="1">
        <f t="shared" si="0"/>
        <v>9.8558968524838836E-2</v>
      </c>
      <c r="H6" s="1">
        <f t="shared" si="1"/>
        <v>6.5409772989611387E-3</v>
      </c>
    </row>
    <row r="7" spans="1:8">
      <c r="A7" t="s">
        <v>11</v>
      </c>
      <c r="B7">
        <v>1437</v>
      </c>
      <c r="C7">
        <v>1419</v>
      </c>
      <c r="D7">
        <v>18</v>
      </c>
      <c r="E7">
        <v>834.699444444444</v>
      </c>
      <c r="F7">
        <v>717.02879375146802</v>
      </c>
      <c r="G7" s="1">
        <f t="shared" si="0"/>
        <v>5.4493742889647326E-2</v>
      </c>
      <c r="H7" s="1">
        <f t="shared" si="1"/>
        <v>1.2526096033402923E-2</v>
      </c>
    </row>
    <row r="8" spans="1:8">
      <c r="A8" t="s">
        <v>12</v>
      </c>
      <c r="B8">
        <v>1309</v>
      </c>
      <c r="C8">
        <v>1308</v>
      </c>
      <c r="D8">
        <v>1</v>
      </c>
      <c r="E8">
        <v>24.3026388888889</v>
      </c>
      <c r="F8">
        <v>40.036485304111501</v>
      </c>
      <c r="G8" s="1">
        <f t="shared" si="0"/>
        <v>4.963974213120971E-2</v>
      </c>
      <c r="H8" s="1">
        <f t="shared" si="1"/>
        <v>7.6394194041252863E-4</v>
      </c>
    </row>
    <row r="9" spans="1:8">
      <c r="A9" t="s">
        <v>13</v>
      </c>
      <c r="B9">
        <v>1307</v>
      </c>
      <c r="C9">
        <v>1307</v>
      </c>
      <c r="D9">
        <v>0</v>
      </c>
      <c r="E9">
        <v>0.40527777777777801</v>
      </c>
      <c r="F9">
        <v>3.0203725665221399</v>
      </c>
      <c r="G9" s="1">
        <f t="shared" si="0"/>
        <v>4.9563898369359122E-2</v>
      </c>
      <c r="H9" s="1">
        <f t="shared" si="1"/>
        <v>0</v>
      </c>
    </row>
    <row r="10" spans="1:8">
      <c r="A10" t="s">
        <v>14</v>
      </c>
      <c r="B10">
        <v>1278</v>
      </c>
      <c r="C10">
        <v>1270</v>
      </c>
      <c r="D10">
        <v>8</v>
      </c>
      <c r="E10">
        <v>23.911666666666701</v>
      </c>
      <c r="F10">
        <v>50.3094361329834</v>
      </c>
      <c r="G10" s="1">
        <f t="shared" si="0"/>
        <v>4.8464163822525594E-2</v>
      </c>
      <c r="H10" s="1">
        <f t="shared" si="1"/>
        <v>6.2597809076682318E-3</v>
      </c>
    </row>
    <row r="11" spans="1:8">
      <c r="A11" t="s">
        <v>15</v>
      </c>
      <c r="B11">
        <v>698</v>
      </c>
      <c r="C11">
        <v>698</v>
      </c>
      <c r="D11">
        <v>0</v>
      </c>
      <c r="E11">
        <v>39.716805555555602</v>
      </c>
      <c r="F11">
        <v>62.013234638650097</v>
      </c>
      <c r="G11" s="1">
        <f t="shared" si="0"/>
        <v>2.646947288585514E-2</v>
      </c>
      <c r="H11" s="1">
        <f t="shared" si="1"/>
        <v>0</v>
      </c>
    </row>
    <row r="12" spans="1:8">
      <c r="A12" t="s">
        <v>16</v>
      </c>
      <c r="B12">
        <v>437</v>
      </c>
      <c r="C12">
        <v>437</v>
      </c>
      <c r="D12">
        <v>0</v>
      </c>
      <c r="E12">
        <v>70.526388888888903</v>
      </c>
      <c r="F12">
        <v>107.190436053903</v>
      </c>
      <c r="G12" s="1">
        <f t="shared" si="0"/>
        <v>1.6571861964353431E-2</v>
      </c>
      <c r="H12" s="1">
        <f t="shared" si="1"/>
        <v>0</v>
      </c>
    </row>
    <row r="13" spans="1:8">
      <c r="A13" t="s">
        <v>17</v>
      </c>
      <c r="B13">
        <v>325</v>
      </c>
      <c r="C13">
        <v>325</v>
      </c>
      <c r="D13">
        <v>0</v>
      </c>
      <c r="E13">
        <v>67.112499999999997</v>
      </c>
      <c r="F13">
        <v>74.645052991452999</v>
      </c>
      <c r="G13" s="1">
        <f t="shared" si="0"/>
        <v>1.2324611300720515E-2</v>
      </c>
      <c r="H13" s="1">
        <f t="shared" si="1"/>
        <v>0</v>
      </c>
    </row>
    <row r="14" spans="1:8">
      <c r="A14" t="s">
        <v>18</v>
      </c>
      <c r="B14">
        <v>313</v>
      </c>
      <c r="C14">
        <v>313</v>
      </c>
      <c r="D14">
        <v>0</v>
      </c>
      <c r="E14">
        <v>94.449166666666699</v>
      </c>
      <c r="F14">
        <v>116.513459353923</v>
      </c>
      <c r="G14" s="1">
        <f t="shared" si="0"/>
        <v>1.1869548729616989E-2</v>
      </c>
      <c r="H14" s="1">
        <f t="shared" si="1"/>
        <v>0</v>
      </c>
    </row>
    <row r="15" spans="1:8">
      <c r="A15" t="s">
        <v>19</v>
      </c>
      <c r="B15">
        <v>305</v>
      </c>
      <c r="C15">
        <v>305</v>
      </c>
      <c r="D15">
        <v>0</v>
      </c>
      <c r="E15">
        <v>76.183055555555597</v>
      </c>
      <c r="F15">
        <v>95.281343351548301</v>
      </c>
      <c r="G15" s="1">
        <f t="shared" si="0"/>
        <v>1.1566173682214638E-2</v>
      </c>
      <c r="H15" s="1">
        <f t="shared" si="1"/>
        <v>0</v>
      </c>
    </row>
    <row r="16" spans="1:8">
      <c r="A16" t="s">
        <v>20</v>
      </c>
      <c r="B16">
        <v>198</v>
      </c>
      <c r="C16">
        <v>198</v>
      </c>
      <c r="D16">
        <v>0</v>
      </c>
      <c r="E16">
        <v>1.0802777777777799</v>
      </c>
      <c r="F16">
        <v>15.551757856341199</v>
      </c>
      <c r="G16" s="1">
        <f t="shared" si="0"/>
        <v>7.5085324232081908E-3</v>
      </c>
      <c r="H16" s="1">
        <f t="shared" si="1"/>
        <v>0</v>
      </c>
    </row>
    <row r="17" spans="1:8">
      <c r="A17" t="s">
        <v>21</v>
      </c>
      <c r="B17">
        <v>172</v>
      </c>
      <c r="C17">
        <v>172</v>
      </c>
      <c r="D17">
        <v>0</v>
      </c>
      <c r="E17">
        <v>68.34</v>
      </c>
      <c r="F17">
        <v>92.963081395348794</v>
      </c>
      <c r="G17" s="1">
        <f t="shared" si="0"/>
        <v>6.5225635191505501E-3</v>
      </c>
      <c r="H17" s="1">
        <f t="shared" si="1"/>
        <v>0</v>
      </c>
    </row>
    <row r="18" spans="1:8">
      <c r="A18" t="s">
        <v>22</v>
      </c>
      <c r="B18">
        <v>159</v>
      </c>
      <c r="C18">
        <v>159</v>
      </c>
      <c r="D18">
        <v>0</v>
      </c>
      <c r="E18">
        <v>54.411666666666697</v>
      </c>
      <c r="F18">
        <v>90.112809224318696</v>
      </c>
      <c r="G18" s="1">
        <f t="shared" si="0"/>
        <v>6.0295790671217294E-3</v>
      </c>
      <c r="H18" s="1">
        <f t="shared" si="1"/>
        <v>0</v>
      </c>
    </row>
    <row r="19" spans="1:8">
      <c r="A19" t="s">
        <v>23</v>
      </c>
      <c r="B19">
        <v>59</v>
      </c>
      <c r="C19">
        <v>13</v>
      </c>
      <c r="D19">
        <v>46</v>
      </c>
      <c r="E19">
        <v>99.038055555555601</v>
      </c>
      <c r="F19">
        <v>1783.6023931623899</v>
      </c>
      <c r="G19" s="1">
        <f t="shared" si="0"/>
        <v>2.2373909745923397E-3</v>
      </c>
      <c r="H19" s="1">
        <f t="shared" si="1"/>
        <v>0.77966101694915257</v>
      </c>
    </row>
    <row r="20" spans="1:8">
      <c r="A20" t="s">
        <v>24</v>
      </c>
      <c r="B20">
        <v>43</v>
      </c>
      <c r="C20">
        <v>43</v>
      </c>
      <c r="D20">
        <v>0</v>
      </c>
      <c r="E20">
        <v>114.435</v>
      </c>
      <c r="F20">
        <v>207.392751937984</v>
      </c>
      <c r="G20" s="1">
        <f t="shared" si="0"/>
        <v>1.6306408797876375E-3</v>
      </c>
      <c r="H20" s="1">
        <f t="shared" si="1"/>
        <v>0</v>
      </c>
    </row>
    <row r="21" spans="1:8">
      <c r="A21" t="s">
        <v>25</v>
      </c>
      <c r="B21">
        <v>23</v>
      </c>
      <c r="C21">
        <v>23</v>
      </c>
      <c r="D21">
        <v>0</v>
      </c>
      <c r="E21">
        <v>22.630555555555599</v>
      </c>
      <c r="F21">
        <v>49.092403381642498</v>
      </c>
      <c r="G21" s="1">
        <f t="shared" si="0"/>
        <v>8.7220326128175957E-4</v>
      </c>
      <c r="H21" s="1">
        <f t="shared" si="1"/>
        <v>0</v>
      </c>
    </row>
    <row r="22" spans="1:8">
      <c r="A22" t="s">
        <v>26</v>
      </c>
      <c r="B22">
        <v>5</v>
      </c>
      <c r="C22">
        <v>5</v>
      </c>
      <c r="D22">
        <v>0</v>
      </c>
      <c r="E22">
        <v>1.8325</v>
      </c>
      <c r="F22">
        <v>12.5551666666667</v>
      </c>
      <c r="G22" s="1">
        <f t="shared" si="0"/>
        <v>1.8960940462646946E-4</v>
      </c>
      <c r="H22" s="1">
        <f t="shared" si="1"/>
        <v>0</v>
      </c>
    </row>
    <row r="23" spans="1:8">
      <c r="A23" t="s">
        <v>27</v>
      </c>
      <c r="B23">
        <v>5</v>
      </c>
      <c r="C23">
        <v>5</v>
      </c>
      <c r="D23">
        <v>0</v>
      </c>
      <c r="E23">
        <v>95.071666666666701</v>
      </c>
      <c r="F23">
        <v>93.554500000000004</v>
      </c>
      <c r="G23" s="1">
        <f t="shared" si="0"/>
        <v>1.8960940462646946E-4</v>
      </c>
      <c r="H23" s="1">
        <f t="shared" si="1"/>
        <v>0</v>
      </c>
    </row>
    <row r="24" spans="1:8">
      <c r="A24" t="s">
        <v>28</v>
      </c>
      <c r="B24">
        <v>3</v>
      </c>
      <c r="C24">
        <v>3</v>
      </c>
      <c r="D24">
        <v>0</v>
      </c>
      <c r="E24">
        <v>76.561388888888899</v>
      </c>
      <c r="F24">
        <v>162.10944444444399</v>
      </c>
      <c r="G24" s="1">
        <f t="shared" si="0"/>
        <v>1.1376564277588168E-4</v>
      </c>
      <c r="H24" s="1">
        <f t="shared" si="1"/>
        <v>0</v>
      </c>
    </row>
    <row r="25" spans="1:8">
      <c r="A25" t="s">
        <v>29</v>
      </c>
      <c r="B25">
        <v>2</v>
      </c>
      <c r="C25">
        <v>2</v>
      </c>
      <c r="D25">
        <v>0</v>
      </c>
      <c r="E25">
        <v>72.010694444444397</v>
      </c>
      <c r="F25">
        <v>72.010694444444397</v>
      </c>
      <c r="G25" s="1">
        <f t="shared" si="0"/>
        <v>7.5843761850587782E-5</v>
      </c>
      <c r="H25" s="1">
        <f t="shared" si="1"/>
        <v>0</v>
      </c>
    </row>
    <row r="26" spans="1:8">
      <c r="A26" t="s">
        <v>30</v>
      </c>
      <c r="B26">
        <v>1</v>
      </c>
      <c r="C26">
        <v>1</v>
      </c>
      <c r="D26">
        <v>0</v>
      </c>
      <c r="E26">
        <v>6.3122222222222204</v>
      </c>
      <c r="F26">
        <v>6.3122222222222204</v>
      </c>
      <c r="G26" s="1">
        <f t="shared" si="0"/>
        <v>3.7921880925293891E-5</v>
      </c>
      <c r="H26" s="1">
        <f t="shared" si="1"/>
        <v>0</v>
      </c>
    </row>
  </sheetData>
  <conditionalFormatting sqref="H2:H26">
    <cfRule type="cellIs" dxfId="0" priority="1" operator="greaterThan">
      <formula>0.05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Finding</vt:lpstr>
      <vt:lpstr>Request Summary</vt:lpstr>
      <vt:lpstr>Request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Huynh</dc:creator>
  <cp:lastModifiedBy>Ngoc Huynh</cp:lastModifiedBy>
  <dcterms:created xsi:type="dcterms:W3CDTF">2026-10-07T18:51:17Z</dcterms:created>
  <dcterms:modified xsi:type="dcterms:W3CDTF">2026-10-09T18:05:17Z</dcterms:modified>
</cp:coreProperties>
</file>